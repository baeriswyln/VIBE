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baeriswyl\github\VIBE\"/>
    </mc:Choice>
  </mc:AlternateContent>
  <xr:revisionPtr revIDLastSave="0" documentId="13_ncr:1_{535768AB-8C19-455F-B4B8-832F9F65134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K27" i="1"/>
  <c r="K10" i="1"/>
  <c r="K9" i="1"/>
  <c r="K29" i="1" l="1"/>
  <c r="K11" i="1"/>
</calcChain>
</file>

<file path=xl/sharedStrings.xml><?xml version="1.0" encoding="utf-8"?>
<sst xmlns="http://schemas.openxmlformats.org/spreadsheetml/2006/main" count="108" uniqueCount="27">
  <si>
    <t>Session 1</t>
  </si>
  <si>
    <t>Stimuli Setup</t>
  </si>
  <si>
    <t>nb trials</t>
  </si>
  <si>
    <t>Virtual Hand</t>
  </si>
  <si>
    <t>Visual</t>
  </si>
  <si>
    <t>Auditory</t>
  </si>
  <si>
    <t>Induced errors</t>
  </si>
  <si>
    <t>Hinted pinch</t>
  </si>
  <si>
    <t>Observe</t>
  </si>
  <si>
    <t>Session 1 Config</t>
  </si>
  <si>
    <t>Static_1_Stimuli</t>
  </si>
  <si>
    <t>X</t>
  </si>
  <si>
    <t>Expected duration per trial (s)</t>
  </si>
  <si>
    <t>Static_4_Stimuli</t>
  </si>
  <si>
    <t>Break between blocks (s)</t>
  </si>
  <si>
    <t>Tutorial duration (min)</t>
  </si>
  <si>
    <t>Setup time (min)</t>
  </si>
  <si>
    <t>Session 1 Duration</t>
  </si>
  <si>
    <t>Preparation</t>
  </si>
  <si>
    <t>Actual experiment</t>
  </si>
  <si>
    <t>Total</t>
  </si>
  <si>
    <t>Random_6_Stimuli</t>
  </si>
  <si>
    <t>Session 2</t>
  </si>
  <si>
    <t>Choose</t>
  </si>
  <si>
    <t>Delayed feedback</t>
  </si>
  <si>
    <t>Session 2 Config</t>
  </si>
  <si>
    <t>Session 2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</si>
</sst>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H14">
  <autoFilter ref="A2:H14" xr:uid="{00000000-0009-0000-0100-000001000000}"/>
  <tableColumns count="8">
    <tableColumn id="1" xr3:uid="{00000000-0010-0000-0000-000001000000}" name="Stimuli Setup" totalsRowLabel="Expected duration"/>
    <tableColumn id="2" xr3:uid="{00000000-0010-0000-0000-000002000000}" name="nb trials"/>
    <tableColumn id="3" xr3:uid="{00000000-0010-0000-0000-000003000000}" name="Virtual Hand"/>
    <tableColumn id="4" xr3:uid="{00000000-0010-0000-0000-000004000000}" name="Visual"/>
    <tableColumn id="5" xr3:uid="{00000000-0010-0000-0000-000005000000}" name="Auditory"/>
    <tableColumn id="6" xr3:uid="{00000000-0010-0000-0000-000006000000}" name="Induced errors"/>
    <tableColumn id="7" xr3:uid="{00000000-0010-0000-0000-000007000000}" name="Hinted pinch"/>
    <tableColumn id="8" xr3:uid="{00000000-0010-0000-0000-000008000000}" name="Observe" totalsRowFunction="custom">
      <totalsRowFormula>SUM(Table1[nb trials])*K3+(COUNT(Table1[nb trials])-1)*K4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0:H28">
  <autoFilter ref="A20:H28" xr:uid="{00000000-0009-0000-0100-000002000000}"/>
  <tableColumns count="8">
    <tableColumn id="1" xr3:uid="{00000000-0010-0000-0100-000001000000}" name="Stimuli Setup"/>
    <tableColumn id="2" xr3:uid="{00000000-0010-0000-0100-000002000000}" name="nb trials"/>
    <tableColumn id="3" xr3:uid="{00000000-0010-0000-0100-000003000000}" name="Visual"/>
    <tableColumn id="4" xr3:uid="{00000000-0010-0000-0100-000004000000}" name="Auditory"/>
    <tableColumn id="5" xr3:uid="{00000000-0010-0000-0100-000005000000}" name="Induced errors"/>
    <tableColumn id="6" xr3:uid="{00000000-0010-0000-0100-000006000000}" name="Hinted pinch"/>
    <tableColumn id="7" xr3:uid="{00000000-0010-0000-0100-000007000000}" name="Choose"/>
    <tableColumn id="8" xr3:uid="{00000000-0010-0000-0100-000008000000}" name="Delayed feedba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H14" sqref="H14"/>
    </sheetView>
  </sheetViews>
  <sheetFormatPr defaultRowHeight="15" x14ac:dyDescent="0.25"/>
  <cols>
    <col min="1" max="1" width="16.5703125" bestFit="1"/>
    <col min="2" max="2" width="10.140625" bestFit="1"/>
    <col min="3" max="3" width="14.140625" bestFit="1"/>
    <col min="4" max="4" width="10.7109375" bestFit="1"/>
    <col min="5" max="6" width="15.85546875" bestFit="1"/>
    <col min="7" max="7" width="14.28515625" bestFit="1"/>
    <col min="8" max="8" width="18.5703125" bestFit="1"/>
    <col min="10" max="10" width="26.140625" bestFit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J2" t="s">
        <v>9</v>
      </c>
    </row>
    <row r="3" spans="1:11" x14ac:dyDescent="0.25">
      <c r="A3" t="s">
        <v>13</v>
      </c>
      <c r="B3">
        <v>15</v>
      </c>
      <c r="C3" s="1" t="s">
        <v>11</v>
      </c>
      <c r="D3" s="1" t="s">
        <v>11</v>
      </c>
      <c r="E3" s="1" t="s">
        <v>11</v>
      </c>
      <c r="F3" s="1"/>
      <c r="G3" s="1"/>
      <c r="H3" s="1"/>
      <c r="J3" t="s">
        <v>12</v>
      </c>
      <c r="K3" s="2">
        <v>8.0000925925925923</v>
      </c>
    </row>
    <row r="4" spans="1:11" x14ac:dyDescent="0.25">
      <c r="A4" t="s">
        <v>10</v>
      </c>
      <c r="B4">
        <v>15</v>
      </c>
      <c r="C4" s="1" t="s">
        <v>11</v>
      </c>
      <c r="D4" s="1" t="s">
        <v>11</v>
      </c>
      <c r="E4" s="1" t="s">
        <v>11</v>
      </c>
      <c r="F4" s="1"/>
      <c r="G4" s="1"/>
      <c r="H4" s="1"/>
      <c r="J4" t="s">
        <v>14</v>
      </c>
      <c r="K4" s="2">
        <v>15.000231481481482</v>
      </c>
    </row>
    <row r="5" spans="1:11" x14ac:dyDescent="0.25">
      <c r="A5" t="s">
        <v>13</v>
      </c>
      <c r="B5">
        <v>15</v>
      </c>
      <c r="C5" s="1" t="s">
        <v>11</v>
      </c>
      <c r="D5" s="1"/>
      <c r="E5" s="1" t="s">
        <v>11</v>
      </c>
      <c r="F5" s="1">
        <v>1</v>
      </c>
      <c r="G5" s="1"/>
      <c r="H5" s="1"/>
      <c r="J5" t="s">
        <v>15</v>
      </c>
      <c r="K5" s="2">
        <v>5.0034722222222223</v>
      </c>
    </row>
    <row r="6" spans="1:11" x14ac:dyDescent="0.25">
      <c r="A6" t="s">
        <v>13</v>
      </c>
      <c r="B6">
        <v>15</v>
      </c>
      <c r="C6" s="1" t="s">
        <v>11</v>
      </c>
      <c r="D6" s="1" t="s">
        <v>11</v>
      </c>
      <c r="E6" s="1"/>
      <c r="F6" s="1">
        <v>1</v>
      </c>
      <c r="G6" s="1"/>
      <c r="H6" s="1"/>
      <c r="J6" t="s">
        <v>16</v>
      </c>
      <c r="K6" s="2">
        <v>20.013888888888889</v>
      </c>
    </row>
    <row r="7" spans="1:11" x14ac:dyDescent="0.25">
      <c r="A7" t="s">
        <v>13</v>
      </c>
      <c r="B7">
        <v>15</v>
      </c>
      <c r="C7" s="1"/>
      <c r="D7" s="1" t="s">
        <v>11</v>
      </c>
      <c r="E7" s="1" t="s">
        <v>11</v>
      </c>
      <c r="F7" s="1">
        <v>3</v>
      </c>
      <c r="G7" s="1"/>
      <c r="H7" s="1"/>
    </row>
    <row r="8" spans="1:11" x14ac:dyDescent="0.25">
      <c r="A8" t="s">
        <v>13</v>
      </c>
      <c r="B8">
        <v>15</v>
      </c>
      <c r="C8" s="1"/>
      <c r="D8" s="1" t="s">
        <v>11</v>
      </c>
      <c r="E8" s="1" t="s">
        <v>11</v>
      </c>
      <c r="F8" s="1">
        <v>5</v>
      </c>
      <c r="G8" s="1" t="s">
        <v>11</v>
      </c>
      <c r="H8" s="1"/>
      <c r="J8" t="s">
        <v>17</v>
      </c>
    </row>
    <row r="9" spans="1:11" x14ac:dyDescent="0.25">
      <c r="A9" t="s">
        <v>13</v>
      </c>
      <c r="B9">
        <v>15</v>
      </c>
      <c r="C9" s="1"/>
      <c r="D9" s="1" t="s">
        <v>11</v>
      </c>
      <c r="E9" s="1" t="s">
        <v>11</v>
      </c>
      <c r="F9" s="1"/>
      <c r="G9" s="1"/>
      <c r="H9" s="1">
        <v>10</v>
      </c>
      <c r="J9" t="s">
        <v>18</v>
      </c>
      <c r="K9" s="2">
        <f>SUM(K5:K6)</f>
        <v>25.017361111111111</v>
      </c>
    </row>
    <row r="10" spans="1:11" x14ac:dyDescent="0.25">
      <c r="A10" t="s">
        <v>21</v>
      </c>
      <c r="B10">
        <v>15</v>
      </c>
      <c r="C10" s="1"/>
      <c r="D10" s="1" t="s">
        <v>11</v>
      </c>
      <c r="E10" s="1"/>
      <c r="F10" s="1">
        <v>1</v>
      </c>
      <c r="G10" s="1"/>
      <c r="H10" s="1"/>
      <c r="J10" t="s">
        <v>19</v>
      </c>
      <c r="K10" s="2">
        <f>K3*SUM(Table1[nb trials])+(COUNT(Table1[nb trials])-1)*K4</f>
        <v>1605.0192129629629</v>
      </c>
    </row>
    <row r="11" spans="1:11" x14ac:dyDescent="0.25">
      <c r="A11" t="s">
        <v>21</v>
      </c>
      <c r="B11">
        <v>15</v>
      </c>
      <c r="C11" s="1"/>
      <c r="D11" s="1"/>
      <c r="E11" s="1" t="s">
        <v>11</v>
      </c>
      <c r="F11" s="1">
        <v>3</v>
      </c>
      <c r="G11" s="1"/>
      <c r="H11" s="1"/>
      <c r="J11" t="s">
        <v>20</v>
      </c>
      <c r="K11" s="2">
        <f>SUM(K9:K10)</f>
        <v>1630.036574074074</v>
      </c>
    </row>
    <row r="12" spans="1:11" x14ac:dyDescent="0.25">
      <c r="A12" t="s">
        <v>21</v>
      </c>
      <c r="B12">
        <v>15</v>
      </c>
      <c r="C12" s="1"/>
      <c r="D12" s="1" t="s">
        <v>11</v>
      </c>
      <c r="E12" s="1" t="s">
        <v>11</v>
      </c>
      <c r="F12" s="1">
        <v>5</v>
      </c>
      <c r="G12" s="1" t="s">
        <v>11</v>
      </c>
      <c r="H12" s="1"/>
    </row>
    <row r="13" spans="1:11" x14ac:dyDescent="0.25">
      <c r="A13" t="s">
        <v>21</v>
      </c>
      <c r="B13">
        <v>15</v>
      </c>
      <c r="C13" s="1"/>
      <c r="D13" s="1" t="s">
        <v>11</v>
      </c>
      <c r="E13" s="1" t="s">
        <v>11</v>
      </c>
      <c r="F13" s="1"/>
      <c r="G13" s="1"/>
      <c r="H13" s="1">
        <v>10</v>
      </c>
    </row>
    <row r="14" spans="1:11" x14ac:dyDescent="0.25">
      <c r="A14" t="s">
        <v>13</v>
      </c>
      <c r="B14">
        <v>15</v>
      </c>
      <c r="C14" s="1" t="s">
        <v>11</v>
      </c>
      <c r="D14" s="1" t="s">
        <v>11</v>
      </c>
      <c r="E14" s="1" t="s">
        <v>11</v>
      </c>
      <c r="F14" s="1"/>
      <c r="G14" s="1"/>
      <c r="H14" s="1"/>
    </row>
    <row r="15" spans="1:11" x14ac:dyDescent="0.25">
      <c r="C15" s="1"/>
      <c r="D15" s="1"/>
      <c r="E15" s="1"/>
      <c r="F15" s="1"/>
      <c r="G15" s="1"/>
      <c r="H15" s="1"/>
    </row>
    <row r="16" spans="1:11" x14ac:dyDescent="0.25">
      <c r="C16" s="1"/>
      <c r="D16" s="1"/>
      <c r="E16" s="1"/>
      <c r="F16" s="1"/>
      <c r="G16" s="1"/>
      <c r="H16" s="1"/>
    </row>
    <row r="17" spans="1:11" x14ac:dyDescent="0.25">
      <c r="C17" s="1"/>
      <c r="D17" s="1"/>
      <c r="E17" s="1"/>
      <c r="F17" s="1"/>
      <c r="G17" s="1"/>
      <c r="H17" s="1"/>
    </row>
    <row r="19" spans="1:11" x14ac:dyDescent="0.25">
      <c r="A19" s="3" t="s">
        <v>22</v>
      </c>
      <c r="B19" s="3"/>
      <c r="C19" s="3"/>
      <c r="D19" s="3"/>
      <c r="E19" s="3"/>
      <c r="F19" s="3"/>
      <c r="G19" s="3"/>
      <c r="H19" s="3"/>
    </row>
    <row r="20" spans="1:11" x14ac:dyDescent="0.25">
      <c r="A20" t="s">
        <v>1</v>
      </c>
      <c r="B20" t="s">
        <v>2</v>
      </c>
      <c r="C20" t="s">
        <v>4</v>
      </c>
      <c r="D20" t="s">
        <v>5</v>
      </c>
      <c r="E20" t="s">
        <v>6</v>
      </c>
      <c r="F20" t="s">
        <v>7</v>
      </c>
      <c r="G20" t="s">
        <v>23</v>
      </c>
      <c r="H20" t="s">
        <v>24</v>
      </c>
      <c r="J20" t="s">
        <v>25</v>
      </c>
    </row>
    <row r="21" spans="1:11" x14ac:dyDescent="0.25">
      <c r="A21" t="s">
        <v>13</v>
      </c>
      <c r="B21">
        <v>10</v>
      </c>
      <c r="C21" s="1" t="s">
        <v>11</v>
      </c>
      <c r="D21" s="1" t="s">
        <v>11</v>
      </c>
      <c r="E21" s="1"/>
      <c r="F21" s="1"/>
      <c r="G21" s="1"/>
      <c r="H21" s="1"/>
      <c r="J21" t="s">
        <v>12</v>
      </c>
      <c r="K21" s="2">
        <v>8.0001041666666666</v>
      </c>
    </row>
    <row r="22" spans="1:11" x14ac:dyDescent="0.25">
      <c r="A22" t="s">
        <v>13</v>
      </c>
      <c r="B22">
        <v>10</v>
      </c>
      <c r="C22" s="1" t="s">
        <v>11</v>
      </c>
      <c r="D22" s="1" t="s">
        <v>11</v>
      </c>
      <c r="E22" s="1"/>
      <c r="F22" s="1"/>
      <c r="G22" s="1" t="s">
        <v>11</v>
      </c>
      <c r="H22" s="1"/>
      <c r="J22" t="s">
        <v>14</v>
      </c>
      <c r="K22" s="2">
        <v>15.00017361111111</v>
      </c>
    </row>
    <row r="23" spans="1:11" x14ac:dyDescent="0.25">
      <c r="A23" t="s">
        <v>13</v>
      </c>
      <c r="B23">
        <v>10</v>
      </c>
      <c r="C23" s="1" t="s">
        <v>11</v>
      </c>
      <c r="D23" s="1" t="s">
        <v>11</v>
      </c>
      <c r="E23" s="1"/>
      <c r="F23" s="1"/>
      <c r="G23" s="1" t="s">
        <v>11</v>
      </c>
      <c r="H23" s="1" t="s">
        <v>11</v>
      </c>
      <c r="J23" t="s">
        <v>15</v>
      </c>
      <c r="K23" s="2">
        <v>5.0034722222222223</v>
      </c>
    </row>
    <row r="24" spans="1:11" x14ac:dyDescent="0.25">
      <c r="A24" t="s">
        <v>13</v>
      </c>
      <c r="B24">
        <v>10</v>
      </c>
      <c r="C24" s="1" t="s">
        <v>11</v>
      </c>
      <c r="D24" s="1" t="s">
        <v>11</v>
      </c>
      <c r="E24" s="1">
        <v>3</v>
      </c>
      <c r="F24" s="1" t="s">
        <v>11</v>
      </c>
      <c r="G24" s="1" t="s">
        <v>11</v>
      </c>
      <c r="H24" s="1"/>
      <c r="J24" t="s">
        <v>16</v>
      </c>
      <c r="K24" s="2">
        <v>20.010416666666668</v>
      </c>
    </row>
    <row r="25" spans="1:11" x14ac:dyDescent="0.25">
      <c r="A25" t="s">
        <v>13</v>
      </c>
      <c r="B25">
        <v>10</v>
      </c>
      <c r="C25" s="1" t="s">
        <v>11</v>
      </c>
      <c r="D25" s="1" t="s">
        <v>11</v>
      </c>
      <c r="E25" s="1">
        <v>3</v>
      </c>
      <c r="F25" s="1" t="s">
        <v>11</v>
      </c>
      <c r="G25" s="1" t="s">
        <v>11</v>
      </c>
      <c r="H25" s="1" t="s">
        <v>11</v>
      </c>
    </row>
    <row r="26" spans="1:11" x14ac:dyDescent="0.25">
      <c r="A26" t="s">
        <v>21</v>
      </c>
      <c r="B26">
        <v>10</v>
      </c>
      <c r="C26" s="1" t="s">
        <v>11</v>
      </c>
      <c r="D26" s="1"/>
      <c r="E26" s="1"/>
      <c r="F26" s="1"/>
      <c r="G26" s="1" t="s">
        <v>11</v>
      </c>
      <c r="H26" s="1"/>
      <c r="J26" t="s">
        <v>26</v>
      </c>
    </row>
    <row r="27" spans="1:11" x14ac:dyDescent="0.25">
      <c r="A27" t="s">
        <v>21</v>
      </c>
      <c r="B27">
        <v>10</v>
      </c>
      <c r="C27" s="1"/>
      <c r="D27" s="1" t="s">
        <v>11</v>
      </c>
      <c r="E27" s="1"/>
      <c r="F27" s="1"/>
      <c r="G27" s="1" t="s">
        <v>11</v>
      </c>
      <c r="H27" s="1" t="s">
        <v>11</v>
      </c>
      <c r="J27" t="s">
        <v>18</v>
      </c>
      <c r="K27" s="2">
        <f>SUM(K23:K24)</f>
        <v>25.013888888888889</v>
      </c>
    </row>
    <row r="28" spans="1:11" x14ac:dyDescent="0.25">
      <c r="A28" t="s">
        <v>13</v>
      </c>
      <c r="B28">
        <v>10</v>
      </c>
      <c r="C28" s="1" t="s">
        <v>11</v>
      </c>
      <c r="D28" s="1" t="s">
        <v>11</v>
      </c>
      <c r="E28" s="1"/>
      <c r="F28" s="1"/>
      <c r="G28" s="1"/>
      <c r="H28" s="1"/>
      <c r="J28" t="s">
        <v>19</v>
      </c>
      <c r="K28" s="2">
        <f>K21*SUM(Table2[nb trials])+(COUNT(Table2[nb trials])-1)*K22</f>
        <v>745.00954861111109</v>
      </c>
    </row>
    <row r="29" spans="1:11" x14ac:dyDescent="0.25">
      <c r="J29" t="s">
        <v>20</v>
      </c>
      <c r="K29" s="2">
        <f>SUM(K27:K28)</f>
        <v>770.0234375</v>
      </c>
    </row>
  </sheetData>
  <mergeCells count="2">
    <mergeCell ref="A1:H1"/>
    <mergeCell ref="A19:H19"/>
  </mergeCells>
  <pageMargins left="0.70078740157480324" right="0.70078740157480324" top="0.75196850393700787" bottom="0.75196850393700787" header="0.3" footer="0.3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Baeriswyl  Nicolas</cp:lastModifiedBy>
  <cp:revision>1</cp:revision>
  <dcterms:modified xsi:type="dcterms:W3CDTF">2026-09-01T12:55:11Z</dcterms:modified>
</cp:coreProperties>
</file>